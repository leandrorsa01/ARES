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andro\Desktop\"/>
    </mc:Choice>
  </mc:AlternateContent>
  <xr:revisionPtr revIDLastSave="0" documentId="8_{BB4D3FE7-56DA-468C-89D7-3FEC291B63BC}" xr6:coauthVersionLast="47" xr6:coauthVersionMax="47" xr10:uidLastSave="{00000000-0000-0000-0000-000000000000}"/>
  <bookViews>
    <workbookView xWindow="18737" yWindow="0" windowWidth="14263" windowHeight="17880" xr2:uid="{856E2F04-0F70-4448-8706-999C0112B3E8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6" i="1"/>
  <c r="B11" i="1"/>
  <c r="B10" i="1"/>
  <c r="B5" i="1" l="1"/>
  <c r="B3" i="1"/>
</calcChain>
</file>

<file path=xl/sharedStrings.xml><?xml version="1.0" encoding="utf-8"?>
<sst xmlns="http://schemas.openxmlformats.org/spreadsheetml/2006/main" count="20" uniqueCount="20">
  <si>
    <t>d</t>
  </si>
  <si>
    <t>Aref</t>
  </si>
  <si>
    <t>CD</t>
  </si>
  <si>
    <t>gg0</t>
  </si>
  <si>
    <t>m1_0</t>
  </si>
  <si>
    <t>mf1</t>
  </si>
  <si>
    <t>Isp1</t>
  </si>
  <si>
    <t>T2W1</t>
  </si>
  <si>
    <t>T1</t>
  </si>
  <si>
    <t>m_flux1</t>
  </si>
  <si>
    <t>m2_0</t>
  </si>
  <si>
    <t>mf2</t>
  </si>
  <si>
    <t>Isp2</t>
  </si>
  <si>
    <t>T2W2</t>
  </si>
  <si>
    <t>T2</t>
  </si>
  <si>
    <t>m_flux2</t>
  </si>
  <si>
    <t>h_pitchOver</t>
  </si>
  <si>
    <t>V1</t>
  </si>
  <si>
    <t>V2</t>
  </si>
  <si>
    <t>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</si>
</sst>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7251E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FCF9D-CD75-497A-BB5F-76760AAC69CB}">
  <dimension ref="A1:H46"/>
  <sheetViews>
    <sheetView tabSelected="1" workbookViewId="0">
      <selection activeCell="E12" sqref="E12"/>
    </sheetView>
  </sheetViews>
  <sheetFormatPr defaultRowHeight="14.6" x14ac:dyDescent="0.4"/>
  <cols>
    <col min="1" max="1" width="11.4609375" customWidth="1"/>
  </cols>
  <sheetData>
    <row r="1" spans="1:8" x14ac:dyDescent="0.4">
      <c r="B1" s="1" t="s">
        <v>17</v>
      </c>
      <c r="C1" s="1" t="s">
        <v>18</v>
      </c>
      <c r="D1" s="1" t="s">
        <v>19</v>
      </c>
      <c r="E1" s="1"/>
      <c r="F1" s="1"/>
      <c r="G1" s="1"/>
      <c r="H1" s="1"/>
    </row>
    <row r="2" spans="1:8" x14ac:dyDescent="0.4">
      <c r="A2" s="1" t="s">
        <v>0</v>
      </c>
      <c r="B2">
        <v>1.5</v>
      </c>
    </row>
    <row r="3" spans="1:8" x14ac:dyDescent="0.4">
      <c r="A3" s="1" t="s">
        <v>1</v>
      </c>
      <c r="B3">
        <f>PI()*(B2/2)^2</f>
        <v>1.7671458676442586</v>
      </c>
    </row>
    <row r="4" spans="1:8" x14ac:dyDescent="0.4">
      <c r="A4" s="1" t="s">
        <v>2</v>
      </c>
      <c r="B4">
        <v>0.2</v>
      </c>
    </row>
    <row r="5" spans="1:8" x14ac:dyDescent="0.4">
      <c r="A5" s="1" t="s">
        <v>3</v>
      </c>
      <c r="B5" s="3">
        <f>RADIANS(89.5)</f>
        <v>1.562069680534925</v>
      </c>
    </row>
    <row r="6" spans="1:8" x14ac:dyDescent="0.4">
      <c r="A6" s="1" t="s">
        <v>4</v>
      </c>
      <c r="B6">
        <v>35093.191579200073</v>
      </c>
    </row>
    <row r="7" spans="1:8" x14ac:dyDescent="0.4">
      <c r="A7" s="1" t="s">
        <v>5</v>
      </c>
      <c r="B7">
        <v>6031.8660951666234</v>
      </c>
    </row>
    <row r="8" spans="1:8" x14ac:dyDescent="0.4">
      <c r="A8" s="1" t="s">
        <v>6</v>
      </c>
      <c r="B8">
        <v>302.33330000000001</v>
      </c>
    </row>
    <row r="9" spans="1:8" x14ac:dyDescent="0.4">
      <c r="A9" s="1" t="s">
        <v>7</v>
      </c>
      <c r="B9">
        <v>1.4</v>
      </c>
    </row>
    <row r="10" spans="1:8" x14ac:dyDescent="0.4">
      <c r="A10" s="1" t="s">
        <v>8</v>
      </c>
      <c r="B10">
        <f>B6*9.80665*B9</f>
        <v>481805.30608022725</v>
      </c>
    </row>
    <row r="11" spans="1:8" x14ac:dyDescent="0.4">
      <c r="A11" s="1" t="s">
        <v>9</v>
      </c>
      <c r="B11">
        <f>B10 / (B8*9.80665)</f>
        <v>162.50432291408222</v>
      </c>
    </row>
    <row r="12" spans="1:8" x14ac:dyDescent="0.4">
      <c r="A12" s="1" t="s">
        <v>10</v>
      </c>
      <c r="B12">
        <v>3615.9909466157787</v>
      </c>
    </row>
    <row r="13" spans="1:8" x14ac:dyDescent="0.4">
      <c r="A13" s="1" t="s">
        <v>11</v>
      </c>
      <c r="B13">
        <v>710.99307173503064</v>
      </c>
    </row>
    <row r="14" spans="1:8" x14ac:dyDescent="0.4">
      <c r="A14" s="1" t="s">
        <v>12</v>
      </c>
      <c r="B14">
        <v>327.33330000000001</v>
      </c>
    </row>
    <row r="15" spans="1:8" x14ac:dyDescent="0.4">
      <c r="A15" s="1" t="s">
        <v>13</v>
      </c>
      <c r="B15">
        <v>0.7</v>
      </c>
    </row>
    <row r="16" spans="1:8" x14ac:dyDescent="0.4">
      <c r="A16" s="1" t="s">
        <v>14</v>
      </c>
      <c r="B16">
        <f>B12*9.80665*B15</f>
        <v>24822.530331640737</v>
      </c>
    </row>
    <row r="17" spans="1:2" x14ac:dyDescent="0.4">
      <c r="A17" s="1" t="s">
        <v>15</v>
      </c>
      <c r="B17">
        <f>B16 / (B14*9.80665)</f>
        <v>7.732771650886253</v>
      </c>
    </row>
    <row r="18" spans="1:2" x14ac:dyDescent="0.4">
      <c r="A18" s="1" t="s">
        <v>16</v>
      </c>
      <c r="B18">
        <v>199</v>
      </c>
    </row>
    <row r="19" spans="1:2" x14ac:dyDescent="0.4">
      <c r="A19" s="1"/>
    </row>
    <row r="20" spans="1:2" x14ac:dyDescent="0.4">
      <c r="A20" s="1"/>
    </row>
    <row r="21" spans="1:2" x14ac:dyDescent="0.4">
      <c r="A21" s="1"/>
    </row>
    <row r="22" spans="1:2" x14ac:dyDescent="0.4">
      <c r="A22" s="1"/>
    </row>
    <row r="23" spans="1:2" x14ac:dyDescent="0.4">
      <c r="A23" s="1"/>
    </row>
    <row r="24" spans="1:2" x14ac:dyDescent="0.4">
      <c r="A24" s="1"/>
    </row>
    <row r="25" spans="1:2" x14ac:dyDescent="0.4">
      <c r="A25" s="1"/>
    </row>
    <row r="26" spans="1:2" x14ac:dyDescent="0.4">
      <c r="A26" s="1"/>
    </row>
    <row r="27" spans="1:2" x14ac:dyDescent="0.4">
      <c r="A27" s="1"/>
    </row>
    <row r="28" spans="1:2" x14ac:dyDescent="0.4">
      <c r="A28" s="1"/>
    </row>
    <row r="29" spans="1:2" x14ac:dyDescent="0.4">
      <c r="A29" s="1"/>
    </row>
    <row r="30" spans="1:2" x14ac:dyDescent="0.4">
      <c r="A30" s="1"/>
    </row>
    <row r="31" spans="1:2" x14ac:dyDescent="0.4">
      <c r="A31" s="1"/>
    </row>
    <row r="32" spans="1:2" x14ac:dyDescent="0.4">
      <c r="A32" s="1"/>
    </row>
    <row r="33" spans="1:1" x14ac:dyDescent="0.4">
      <c r="A33" s="1"/>
    </row>
    <row r="34" spans="1:1" x14ac:dyDescent="0.4">
      <c r="A34" s="1"/>
    </row>
    <row r="35" spans="1:1" x14ac:dyDescent="0.4">
      <c r="A35" s="1"/>
    </row>
    <row r="36" spans="1:1" x14ac:dyDescent="0.4">
      <c r="A36" s="1"/>
    </row>
    <row r="37" spans="1:1" x14ac:dyDescent="0.4">
      <c r="A37" s="1"/>
    </row>
    <row r="38" spans="1:1" x14ac:dyDescent="0.4">
      <c r="A38" s="1"/>
    </row>
    <row r="39" spans="1:1" x14ac:dyDescent="0.4">
      <c r="A39" s="1"/>
    </row>
    <row r="40" spans="1:1" x14ac:dyDescent="0.4">
      <c r="A40" s="1"/>
    </row>
    <row r="41" spans="1:1" x14ac:dyDescent="0.4">
      <c r="A41" s="1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Ribeiro Sá</dc:creator>
  <cp:lastModifiedBy>Leandro Ribeiro Sá</cp:lastModifiedBy>
  <dcterms:created xsi:type="dcterms:W3CDTF">2026-04-18T14:37:23Z</dcterms:created>
  <dcterms:modified xsi:type="dcterms:W3CDTF">2026-04-18T14:59:09Z</dcterms:modified>
</cp:coreProperties>
</file>