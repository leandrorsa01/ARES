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ro\Desktop\PIC\"/>
    </mc:Choice>
  </mc:AlternateContent>
  <xr:revisionPtr revIDLastSave="0" documentId="13_ncr:1_{AEA08D90-40D6-46B6-A7B3-34B5F548842B}" xr6:coauthVersionLast="47" xr6:coauthVersionMax="47" xr10:uidLastSave="{00000000-0000-0000-0000-000000000000}"/>
  <bookViews>
    <workbookView xWindow="3771" yWindow="0" windowWidth="19406" windowHeight="17794" xr2:uid="{856E2F04-0F70-4448-8706-999C0112B3E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30" i="1" l="1"/>
  <c r="E26" i="1"/>
  <c r="E28" i="1" s="1"/>
  <c r="E31" i="1" s="1"/>
  <c r="E25" i="1"/>
  <c r="E23" i="1"/>
  <c r="E20" i="1"/>
  <c r="E18" i="1"/>
  <c r="E15" i="1"/>
  <c r="E16" i="1" s="1"/>
  <c r="E9" i="1"/>
  <c r="E10" i="1" s="1"/>
  <c r="E3" i="1"/>
  <c r="C18" i="1"/>
  <c r="D18" i="1"/>
  <c r="B18" i="1"/>
  <c r="D15" i="1"/>
  <c r="D16" i="1" s="1"/>
  <c r="D9" i="1"/>
  <c r="D10" i="1" s="1"/>
  <c r="D3" i="1"/>
  <c r="C15" i="1"/>
  <c r="C16" i="1" s="1"/>
  <c r="C9" i="1"/>
  <c r="C10" i="1" s="1"/>
  <c r="C3" i="1"/>
  <c r="B15" i="1"/>
  <c r="B16" i="1" s="1"/>
  <c r="B9" i="1"/>
  <c r="B10" i="1" s="1"/>
  <c r="B3" i="1" l="1"/>
</calcChain>
</file>

<file path=xl/sharedStrings.xml><?xml version="1.0" encoding="utf-8"?>
<sst xmlns="http://schemas.openxmlformats.org/spreadsheetml/2006/main" count="44" uniqueCount="44">
  <si>
    <t>d</t>
  </si>
  <si>
    <t>Aref</t>
  </si>
  <si>
    <t>CD</t>
  </si>
  <si>
    <t>m1_0</t>
  </si>
  <si>
    <t>mf1</t>
  </si>
  <si>
    <t>Isp1</t>
  </si>
  <si>
    <t>T2W1</t>
  </si>
  <si>
    <t>T1</t>
  </si>
  <si>
    <t>m_flux1</t>
  </si>
  <si>
    <t>m2_0</t>
  </si>
  <si>
    <t>mf2</t>
  </si>
  <si>
    <t>Isp2</t>
  </si>
  <si>
    <t>T2W2</t>
  </si>
  <si>
    <t>T2</t>
  </si>
  <si>
    <t>m_flux2</t>
  </si>
  <si>
    <t>V1</t>
  </si>
  <si>
    <t>V2</t>
  </si>
  <si>
    <t>V0</t>
  </si>
  <si>
    <t>h_pitchOver</t>
  </si>
  <si>
    <t>gg0</t>
  </si>
  <si>
    <t>t_sei</t>
  </si>
  <si>
    <t>CP</t>
  </si>
  <si>
    <t>V3</t>
  </si>
  <si>
    <t>base_RP1_S1</t>
  </si>
  <si>
    <t>h_RP1_S1</t>
  </si>
  <si>
    <t>base_LOX_S1</t>
  </si>
  <si>
    <t>h_LOX_S1</t>
  </si>
  <si>
    <t>Xs_S1</t>
  </si>
  <si>
    <t>base_RP1_S2</t>
  </si>
  <si>
    <t>h_RP1_S2</t>
  </si>
  <si>
    <t>base_LOX_S2</t>
  </si>
  <si>
    <t>h_LOX_S2</t>
  </si>
  <si>
    <t>Xs_S2</t>
  </si>
  <si>
    <t>X_PL</t>
  </si>
  <si>
    <t>C_Na</t>
  </si>
  <si>
    <t>m_RP1_S1</t>
  </si>
  <si>
    <t>m_LOX_S1</t>
  </si>
  <si>
    <t>m_RP1_S2</t>
  </si>
  <si>
    <t>m_LOX_S2</t>
  </si>
  <si>
    <t>ms1</t>
  </si>
  <si>
    <t>ms2</t>
  </si>
  <si>
    <t>mPL</t>
  </si>
  <si>
    <t>h_S1</t>
  </si>
  <si>
    <t>h_S2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</si>
</sst>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CF9D-CD75-497A-BB5F-76760AAC69CB}">
  <dimension ref="A1:H71"/>
  <sheetViews>
    <sheetView tabSelected="1" workbookViewId="0">
      <selection activeCell="E3" sqref="E3"/>
    </sheetView>
  </sheetViews>
  <sheetFormatPr defaultRowHeight="14.6" x14ac:dyDescent="0.4"/>
  <cols>
    <col min="1" max="1" width="12.4609375" customWidth="1"/>
  </cols>
  <sheetData>
    <row r="1" spans="1:8" x14ac:dyDescent="0.4">
      <c r="B1" s="1" t="s">
        <v>17</v>
      </c>
      <c r="C1" s="1" t="s">
        <v>15</v>
      </c>
      <c r="D1" s="1" t="s">
        <v>16</v>
      </c>
      <c r="E1" s="1" t="s">
        <v>22</v>
      </c>
      <c r="F1" s="1"/>
      <c r="G1" s="1"/>
      <c r="H1" s="1"/>
    </row>
    <row r="2" spans="1:8" x14ac:dyDescent="0.4">
      <c r="A2" s="1" t="s">
        <v>0</v>
      </c>
      <c r="B2">
        <v>1.5</v>
      </c>
      <c r="C2">
        <v>1.5</v>
      </c>
      <c r="D2">
        <v>1.5</v>
      </c>
      <c r="E2">
        <v>1.7</v>
      </c>
    </row>
    <row r="3" spans="1:8" x14ac:dyDescent="0.4">
      <c r="A3" s="1" t="s">
        <v>1</v>
      </c>
      <c r="B3">
        <f>PI()*(B2/2)^2</f>
        <v>1.7671458676442586</v>
      </c>
      <c r="C3">
        <f>PI()*(C2/2)^2</f>
        <v>1.7671458676442586</v>
      </c>
      <c r="D3">
        <f>PI()*(D2/2)^2</f>
        <v>1.7671458676442586</v>
      </c>
      <c r="E3">
        <f>PI()*(E2/2)^2</f>
        <v>2.2698006922186251</v>
      </c>
    </row>
    <row r="4" spans="1:8" x14ac:dyDescent="0.4">
      <c r="A4" s="1" t="s">
        <v>2</v>
      </c>
      <c r="B4">
        <v>0.2</v>
      </c>
      <c r="C4">
        <v>0.2</v>
      </c>
      <c r="D4">
        <v>0.2</v>
      </c>
      <c r="E4">
        <v>0.2</v>
      </c>
    </row>
    <row r="5" spans="1:8" x14ac:dyDescent="0.4">
      <c r="A5" s="1" t="s">
        <v>3</v>
      </c>
      <c r="B5">
        <v>35093.191579200073</v>
      </c>
      <c r="C5">
        <v>30394.830820941643</v>
      </c>
      <c r="D5">
        <v>28820.876852104713</v>
      </c>
      <c r="E5">
        <v>28820.876852104713</v>
      </c>
    </row>
    <row r="6" spans="1:8" x14ac:dyDescent="0.4">
      <c r="A6" s="1" t="s">
        <v>4</v>
      </c>
      <c r="B6">
        <v>6031.8660951666234</v>
      </c>
      <c r="C6">
        <v>5474.2373081168053</v>
      </c>
      <c r="D6">
        <v>6161.3898738827074</v>
      </c>
      <c r="E6">
        <v>6161.3898738827074</v>
      </c>
    </row>
    <row r="7" spans="1:8" x14ac:dyDescent="0.4">
      <c r="A7" s="1" t="s">
        <v>5</v>
      </c>
      <c r="B7">
        <v>302.33330000000001</v>
      </c>
      <c r="C7">
        <v>302.33330000000001</v>
      </c>
      <c r="D7">
        <v>302.33330000000001</v>
      </c>
      <c r="E7">
        <v>302.33330000000001</v>
      </c>
    </row>
    <row r="8" spans="1:8" x14ac:dyDescent="0.4">
      <c r="A8" s="1" t="s">
        <v>6</v>
      </c>
      <c r="B8">
        <v>1.4</v>
      </c>
      <c r="C8">
        <v>1.4</v>
      </c>
      <c r="D8">
        <v>1.4</v>
      </c>
      <c r="E8">
        <v>1.4</v>
      </c>
    </row>
    <row r="9" spans="1:8" x14ac:dyDescent="0.4">
      <c r="A9" s="1" t="s">
        <v>7</v>
      </c>
      <c r="B9">
        <f>B5*9.80665*B8</f>
        <v>481805.30608022725</v>
      </c>
      <c r="C9">
        <f>C5*9.80665*C8</f>
        <v>417300.05473826226</v>
      </c>
      <c r="D9">
        <f>D5*9.80665*D8</f>
        <v>395690.75277436973</v>
      </c>
      <c r="E9">
        <f>E5*9.80665*E8</f>
        <v>395690.75277436973</v>
      </c>
    </row>
    <row r="10" spans="1:8" x14ac:dyDescent="0.4">
      <c r="A10" s="1" t="s">
        <v>8</v>
      </c>
      <c r="B10">
        <f>B9 / (B7*9.80665)</f>
        <v>162.50432291408222</v>
      </c>
      <c r="C10">
        <f>C9 / (C7*9.80665)</f>
        <v>140.74785393907419</v>
      </c>
      <c r="D10">
        <f>D9 / (D7*9.80665)</f>
        <v>133.45942240880049</v>
      </c>
      <c r="E10">
        <f>E9 / (E7*9.80665)</f>
        <v>133.45942240880049</v>
      </c>
    </row>
    <row r="11" spans="1:8" x14ac:dyDescent="0.4">
      <c r="A11" s="1" t="s">
        <v>9</v>
      </c>
      <c r="B11">
        <v>3615.9909466157787</v>
      </c>
      <c r="C11">
        <v>3402.5822286591219</v>
      </c>
      <c r="D11">
        <v>4277.7011378106372</v>
      </c>
      <c r="E11">
        <v>4277.7011378106372</v>
      </c>
    </row>
    <row r="12" spans="1:8" x14ac:dyDescent="0.4">
      <c r="A12" s="1" t="s">
        <v>10</v>
      </c>
      <c r="B12">
        <v>710.99307173503064</v>
      </c>
      <c r="C12">
        <v>698.54067304225975</v>
      </c>
      <c r="D12">
        <v>749.60386139125069</v>
      </c>
      <c r="E12">
        <v>749.60386139125069</v>
      </c>
    </row>
    <row r="13" spans="1:8" x14ac:dyDescent="0.4">
      <c r="A13" s="1" t="s">
        <v>11</v>
      </c>
      <c r="B13">
        <v>327.33330000000001</v>
      </c>
      <c r="C13">
        <v>327.33330000000001</v>
      </c>
      <c r="D13">
        <v>327.33330000000001</v>
      </c>
      <c r="E13">
        <v>327.33330000000001</v>
      </c>
    </row>
    <row r="14" spans="1:8" x14ac:dyDescent="0.4">
      <c r="A14" s="1" t="s">
        <v>12</v>
      </c>
      <c r="B14">
        <v>0.7</v>
      </c>
      <c r="C14">
        <v>0.7</v>
      </c>
      <c r="D14">
        <v>0.9</v>
      </c>
      <c r="E14">
        <v>0.9</v>
      </c>
    </row>
    <row r="15" spans="1:8" x14ac:dyDescent="0.4">
      <c r="A15" s="1" t="s">
        <v>13</v>
      </c>
      <c r="B15">
        <f>B11*9.80665*B14</f>
        <v>24822.530331640737</v>
      </c>
      <c r="C15">
        <f>C11*9.80665*C14</f>
        <v>23357.553108875982</v>
      </c>
      <c r="D15">
        <f>D11*9.80665*D14</f>
        <v>37754.926076799617</v>
      </c>
      <c r="E15">
        <f>E11*9.80665*E14</f>
        <v>37754.926076799617</v>
      </c>
    </row>
    <row r="16" spans="1:8" x14ac:dyDescent="0.4">
      <c r="A16" s="1" t="s">
        <v>14</v>
      </c>
      <c r="B16">
        <f>B15 / (B13*9.80665)</f>
        <v>7.732771650886253</v>
      </c>
      <c r="C16">
        <f>C15 / (C13*9.80665)</f>
        <v>7.2763985823055126</v>
      </c>
      <c r="D16">
        <f>D15 / (D13*9.80665)</f>
        <v>11.761501271118989</v>
      </c>
      <c r="E16">
        <f>E15 / (E13*9.80665)</f>
        <v>11.761501271118989</v>
      </c>
    </row>
    <row r="17" spans="1:5" x14ac:dyDescent="0.4">
      <c r="A17" s="1" t="s">
        <v>18</v>
      </c>
      <c r="B17">
        <v>199</v>
      </c>
      <c r="C17">
        <v>201</v>
      </c>
      <c r="D17">
        <v>295</v>
      </c>
      <c r="E17">
        <v>295</v>
      </c>
    </row>
    <row r="18" spans="1:5" x14ac:dyDescent="0.4">
      <c r="A18" s="1" t="s">
        <v>19</v>
      </c>
      <c r="B18">
        <f>RADIANS(89.5)</f>
        <v>1.562069680534925</v>
      </c>
      <c r="C18">
        <f>RADIANS(89.3)</f>
        <v>1.5585790220309363</v>
      </c>
      <c r="D18">
        <f>RADIANS(88.9)</f>
        <v>1.551597705022959</v>
      </c>
      <c r="E18">
        <f>RADIANS(88.9)</f>
        <v>1.551597705022959</v>
      </c>
    </row>
    <row r="19" spans="1:5" x14ac:dyDescent="0.4">
      <c r="A19" s="1" t="s">
        <v>20</v>
      </c>
      <c r="B19">
        <v>100</v>
      </c>
      <c r="C19">
        <v>2</v>
      </c>
      <c r="D19">
        <v>2</v>
      </c>
      <c r="E19">
        <v>2</v>
      </c>
    </row>
    <row r="20" spans="1:5" x14ac:dyDescent="0.4">
      <c r="A20" s="1" t="s">
        <v>21</v>
      </c>
      <c r="E20">
        <f>18.7634993916201-0.831</f>
        <v>17.932499391620102</v>
      </c>
    </row>
    <row r="21" spans="1:5" x14ac:dyDescent="0.4">
      <c r="A21" s="1" t="s">
        <v>23</v>
      </c>
      <c r="E21">
        <v>2.5</v>
      </c>
    </row>
    <row r="22" spans="1:5" x14ac:dyDescent="0.4">
      <c r="A22" s="1" t="s">
        <v>24</v>
      </c>
      <c r="E22">
        <v>3.6974182857982503</v>
      </c>
    </row>
    <row r="23" spans="1:5" x14ac:dyDescent="0.4">
      <c r="A23" s="1" t="s">
        <v>25</v>
      </c>
      <c r="E23">
        <f>E21+E22</f>
        <v>6.1974182857982498</v>
      </c>
    </row>
    <row r="24" spans="1:5" x14ac:dyDescent="0.4">
      <c r="A24" s="1" t="s">
        <v>26</v>
      </c>
      <c r="E24">
        <v>6.5677824813521557</v>
      </c>
    </row>
    <row r="25" spans="1:5" x14ac:dyDescent="0.4">
      <c r="A25" s="1" t="s">
        <v>27</v>
      </c>
      <c r="E25">
        <f>(E24+E22+E21)/2</f>
        <v>6.3826003835752028</v>
      </c>
    </row>
    <row r="26" spans="1:5" x14ac:dyDescent="0.4">
      <c r="A26" s="1" t="s">
        <v>28</v>
      </c>
      <c r="E26">
        <f>E24+E22+E21+1</f>
        <v>13.765200767150406</v>
      </c>
    </row>
    <row r="27" spans="1:5" x14ac:dyDescent="0.4">
      <c r="A27" s="1" t="s">
        <v>29</v>
      </c>
      <c r="E27">
        <v>0.57569049980899512</v>
      </c>
    </row>
    <row r="28" spans="1:5" x14ac:dyDescent="0.4">
      <c r="A28" s="1" t="s">
        <v>30</v>
      </c>
      <c r="E28">
        <f>E26+E27</f>
        <v>14.340891266959401</v>
      </c>
    </row>
    <row r="29" spans="1:5" x14ac:dyDescent="0.4">
      <c r="A29" s="1" t="s">
        <v>31</v>
      </c>
      <c r="E29">
        <v>1.022608124660715</v>
      </c>
    </row>
    <row r="30" spans="1:5" x14ac:dyDescent="0.4">
      <c r="A30" s="1" t="s">
        <v>32</v>
      </c>
      <c r="E30">
        <f>E21+E22+E24+(1+E27+E29+3.4)/2</f>
        <v>15.76435007938526</v>
      </c>
    </row>
    <row r="31" spans="1:5" x14ac:dyDescent="0.4">
      <c r="A31" s="1" t="s">
        <v>33</v>
      </c>
      <c r="E31">
        <f>E28+E29+(3.4/2)</f>
        <v>17.063499391620116</v>
      </c>
    </row>
    <row r="32" spans="1:5" x14ac:dyDescent="0.4">
      <c r="A32" s="1" t="s">
        <v>34</v>
      </c>
      <c r="E32">
        <v>2</v>
      </c>
    </row>
    <row r="33" spans="1:5" x14ac:dyDescent="0.4">
      <c r="A33" s="1" t="s">
        <v>35</v>
      </c>
      <c r="E33">
        <v>6474.1391366348598</v>
      </c>
    </row>
    <row r="34" spans="1:5" x14ac:dyDescent="0.4">
      <c r="A34" s="1" t="s">
        <v>36</v>
      </c>
      <c r="E34">
        <v>16185.34784158715</v>
      </c>
    </row>
    <row r="35" spans="1:5" x14ac:dyDescent="0.4">
      <c r="A35" s="1" t="s">
        <v>37</v>
      </c>
      <c r="E35">
        <v>1008.0277932626819</v>
      </c>
    </row>
    <row r="36" spans="1:5" x14ac:dyDescent="0.4">
      <c r="A36" s="1" t="s">
        <v>38</v>
      </c>
      <c r="E36">
        <v>2520.0694831567048</v>
      </c>
    </row>
    <row r="37" spans="1:5" x14ac:dyDescent="0.4">
      <c r="A37" s="1" t="s">
        <v>39</v>
      </c>
      <c r="E37">
        <v>1883.6887360720702</v>
      </c>
    </row>
    <row r="38" spans="1:5" x14ac:dyDescent="0.4">
      <c r="A38" s="1" t="s">
        <v>40</v>
      </c>
      <c r="E38">
        <v>249.6038614</v>
      </c>
    </row>
    <row r="39" spans="1:5" x14ac:dyDescent="0.4">
      <c r="A39" s="1" t="s">
        <v>41</v>
      </c>
      <c r="E39">
        <v>500</v>
      </c>
    </row>
    <row r="40" spans="1:5" x14ac:dyDescent="0.4">
      <c r="A40" s="1" t="s">
        <v>42</v>
      </c>
      <c r="E40">
        <v>12.765200767150406</v>
      </c>
    </row>
    <row r="41" spans="1:5" x14ac:dyDescent="0.4">
      <c r="A41" s="1" t="s">
        <v>43</v>
      </c>
      <c r="E41">
        <f>3.4+2.59829862446971</f>
        <v>5.9982986244697098</v>
      </c>
    </row>
    <row r="42" spans="1:5" x14ac:dyDescent="0.4">
      <c r="A42" s="1"/>
    </row>
    <row r="43" spans="1:5" x14ac:dyDescent="0.4">
      <c r="A43" s="1"/>
    </row>
    <row r="44" spans="1:5" x14ac:dyDescent="0.4">
      <c r="A44" s="2"/>
    </row>
    <row r="45" spans="1:5" x14ac:dyDescent="0.4">
      <c r="A45" s="2"/>
    </row>
    <row r="46" spans="1:5" x14ac:dyDescent="0.4">
      <c r="A46" s="2"/>
    </row>
    <row r="47" spans="1:5" x14ac:dyDescent="0.4">
      <c r="A47" s="2"/>
    </row>
    <row r="48" spans="1:5" x14ac:dyDescent="0.4">
      <c r="A48" s="2"/>
    </row>
    <row r="49" spans="1:1" x14ac:dyDescent="0.4">
      <c r="A49" s="2"/>
    </row>
    <row r="50" spans="1:1" x14ac:dyDescent="0.4">
      <c r="A50" s="2"/>
    </row>
    <row r="51" spans="1:1" x14ac:dyDescent="0.4">
      <c r="A51" s="2"/>
    </row>
    <row r="52" spans="1:1" x14ac:dyDescent="0.4">
      <c r="A52" s="2"/>
    </row>
    <row r="53" spans="1:1" x14ac:dyDescent="0.4">
      <c r="A53" s="2"/>
    </row>
    <row r="54" spans="1:1" x14ac:dyDescent="0.4">
      <c r="A54" s="2"/>
    </row>
    <row r="55" spans="1:1" x14ac:dyDescent="0.4">
      <c r="A55" s="2"/>
    </row>
    <row r="56" spans="1:1" x14ac:dyDescent="0.4">
      <c r="A56" s="2"/>
    </row>
    <row r="57" spans="1:1" x14ac:dyDescent="0.4">
      <c r="A57" s="2"/>
    </row>
    <row r="58" spans="1:1" x14ac:dyDescent="0.4">
      <c r="A58" s="2"/>
    </row>
    <row r="59" spans="1:1" x14ac:dyDescent="0.4">
      <c r="A59" s="2"/>
    </row>
    <row r="60" spans="1:1" x14ac:dyDescent="0.4">
      <c r="A60" s="2"/>
    </row>
    <row r="61" spans="1:1" x14ac:dyDescent="0.4">
      <c r="A61" s="2"/>
    </row>
    <row r="62" spans="1:1" x14ac:dyDescent="0.4">
      <c r="A62" s="2"/>
    </row>
    <row r="63" spans="1:1" x14ac:dyDescent="0.4">
      <c r="A63" s="2"/>
    </row>
    <row r="64" spans="1:1" x14ac:dyDescent="0.4">
      <c r="A64" s="2"/>
    </row>
    <row r="65" spans="1:1" x14ac:dyDescent="0.4">
      <c r="A65" s="2"/>
    </row>
    <row r="66" spans="1:1" x14ac:dyDescent="0.4">
      <c r="A66" s="2"/>
    </row>
    <row r="67" spans="1:1" x14ac:dyDescent="0.4">
      <c r="A67" s="2"/>
    </row>
    <row r="68" spans="1:1" x14ac:dyDescent="0.4">
      <c r="A68" s="2"/>
    </row>
    <row r="69" spans="1:1" x14ac:dyDescent="0.4">
      <c r="A69" s="2"/>
    </row>
    <row r="70" spans="1:1" x14ac:dyDescent="0.4">
      <c r="A70" s="2"/>
    </row>
    <row r="71" spans="1:1" x14ac:dyDescent="0.4">
      <c r="A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Ribeiro Sá</dc:creator>
  <cp:lastModifiedBy>Leandro Ribeiro Sá</cp:lastModifiedBy>
  <dcterms:created xsi:type="dcterms:W3CDTF">2026-04-18T14:37:23Z</dcterms:created>
  <dcterms:modified xsi:type="dcterms:W3CDTF">2026-04-25T17:27:33Z</dcterms:modified>
</cp:coreProperties>
</file>